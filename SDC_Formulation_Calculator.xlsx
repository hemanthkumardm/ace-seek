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DC Calculator" sheetId="1" state="visible" r:id="rId2"/>
    <sheet name="Thumb Rules" sheetId="2" state="visible" r:id="rId3"/>
    <sheet name="Presets" sheetId="3" state="visible" r:id="rId4"/>
    <sheet name="Multi-Clock" sheetId="4" state="visible" r:id="rId5"/>
    <sheet name="Lists" sheetId="5" state="hidden" r:id="rId6"/>
  </sheets>
  <definedNames>
    <definedName function="false" hidden="false" localSheetId="0" name="_xlnm.Print_Titles" vbProcedure="false">'SDC Calculator'!$1:$12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6" authorId="0">
      <text>
        <r>
          <rPr>
            <sz val="11"/>
            <color rgb="FF000000"/>
            <rFont val="Calibri"/>
            <family val="2"/>
            <charset val="1"/>
          </rPr>
          <t xml:space="preserve">Master period T. All %-based constraints scale from this.</t>
        </r>
      </text>
    </comment>
    <comment ref="D20" authorId="0">
      <text>
        <r>
          <rPr>
            <sz val="11"/>
            <color rgb="FF000000"/>
            <rFont val="Calibri"/>
            <family val="2"/>
            <charset val="1"/>
          </rPr>
          <t xml:space="preserve">For Input transition min this % is of Input transition max (row above), NOT of T.</t>
        </r>
      </text>
    </comment>
  </commentList>
</comments>
</file>

<file path=xl/sharedStrings.xml><?xml version="1.0" encoding="utf-8"?>
<sst xmlns="http://schemas.openxmlformats.org/spreadsheetml/2006/main" count="250" uniqueCount="196">
  <si>
    <t xml:space="preserve">SDC Formulation Calculator  —  period-based thumb rules (synthesis / early STA)</t>
  </si>
  <si>
    <t xml:space="preserve">Yellow + blue text = USER INPUTS (edit these).  Green = calculated.  Pick % of period T from dropdowns.  Optional floor clamps (ps) apply via MAX(T×%, floor).  Starting points only — replace with board/IP/signoff numbers.</t>
  </si>
  <si>
    <t xml:space="preserve">CLOCK INPUTS</t>
  </si>
  <si>
    <t xml:space="preserve">Clock name</t>
  </si>
  <si>
    <t xml:space="preserve">CLK</t>
  </si>
  <si>
    <t xml:space="preserve">← edit</t>
  </si>
  <si>
    <t xml:space="preserve">Period T</t>
  </si>
  <si>
    <t xml:space="preserve">← edit (e.g. 2.0 for 500 MHz if unit=ns)</t>
  </si>
  <si>
    <t xml:space="preserve">Time unit</t>
  </si>
  <si>
    <t xml:space="preserve">ns</t>
  </si>
  <si>
    <t xml:space="preserve">← ns or ps</t>
  </si>
  <si>
    <t xml:space="preserve">Frequency (MHz)</t>
  </si>
  <si>
    <t xml:space="preserve">formula: if ns → 1000/T ; if ps → 1e6/T</t>
  </si>
  <si>
    <t xml:space="preserve">5% of T (ref)</t>
  </si>
  <si>
    <t xml:space="preserve">quick reference slice of period</t>
  </si>
  <si>
    <t xml:space="preserve">CONSTRAINT TABLE  —  select percentile for each parameter → value = MAX(T × pct, floor)</t>
  </si>
  <si>
    <t xml:space="preserve">Parameter</t>
  </si>
  <si>
    <t xml:space="preserve">Applies to</t>
  </si>
  <si>
    <t xml:space="preserve">Profile / notes</t>
  </si>
  <si>
    <t xml:space="preserve">Percentile of T</t>
  </si>
  <si>
    <t xml:space="preserve">% (decimal)</t>
  </si>
  <si>
    <t xml:space="preserve">Floor (same unit as T)</t>
  </si>
  <si>
    <t xml:space="preserve">Calculated value</t>
  </si>
  <si>
    <t xml:space="preserve">Unit</t>
  </si>
  <si>
    <t xml:space="preserve">SDC command (template)</t>
  </si>
  <si>
    <t xml:space="preserve">Notes</t>
  </si>
  <si>
    <t xml:space="preserve">Setup uncertainty</t>
  </si>
  <si>
    <t xml:space="preserve">clocks (setup)</t>
  </si>
  <si>
    <t xml:space="preserve">early synth ~3–7% T</t>
  </si>
  <si>
    <t xml:space="preserve">↑ harder setup; later refined by derates/jitter</t>
  </si>
  <si>
    <t xml:space="preserve">Hold uncertainty</t>
  </si>
  <si>
    <t xml:space="preserve">clocks (hold)</t>
  </si>
  <si>
    <t xml:space="preserve">early ~1–3% T</t>
  </si>
  <si>
    <t xml:space="preserve">↑ harder hold; often floor 20–50 ps</t>
  </si>
  <si>
    <t xml:space="preserve">Input delay max</t>
  </si>
  <si>
    <t xml:space="preserve">inputs → capture</t>
  </si>
  <si>
    <t xml:space="preserve">early ~20–40% T</t>
  </si>
  <si>
    <t xml:space="preserve">external launch budget; don't double-count pads</t>
  </si>
  <si>
    <t xml:space="preserve">Input delay min</t>
  </si>
  <si>
    <t xml:space="preserve">inputs (hold)</t>
  </si>
  <si>
    <t xml:space="preserve">early ~0–10% T</t>
  </si>
  <si>
    <t xml:space="preserve">often ¼–½ of max; near 0 if aggressive</t>
  </si>
  <si>
    <t xml:space="preserve">Output delay max</t>
  </si>
  <si>
    <t xml:space="preserve">launch → outputs</t>
  </si>
  <si>
    <t xml:space="preserve">external capture budget</t>
  </si>
  <si>
    <t xml:space="preserve">Output delay min</t>
  </si>
  <si>
    <t xml:space="preserve">outputs (hold)</t>
  </si>
  <si>
    <t xml:space="preserve">pair with max; hold on R2O/I2O</t>
  </si>
  <si>
    <t xml:space="preserve">Input transition max</t>
  </si>
  <si>
    <t xml:space="preserve">all_inputs slew</t>
  </si>
  <si>
    <t xml:space="preserve">early ~5–15% T or fixed ps</t>
  </si>
  <si>
    <t xml:space="preserve">or prefer set_driving_cell; clamp to lib max_tran</t>
  </si>
  <si>
    <t xml:space="preserve">Input transition min</t>
  </si>
  <si>
    <t xml:space="preserve">all_inputs min slew</t>
  </si>
  <si>
    <t xml:space="preserve">% of max transition (not of T)</t>
  </si>
  <si>
    <t xml:space="preserve">SPECIAL: value = max_tran × this % (see formula)</t>
  </si>
  <si>
    <t xml:space="preserve">Clock transition</t>
  </si>
  <si>
    <t xml:space="preserve">clock ports</t>
  </si>
  <si>
    <t xml:space="preserve">~50–100 ps class or % T</t>
  </si>
  <si>
    <t xml:space="preserve">if not ideal clock</t>
  </si>
  <si>
    <t xml:space="preserve">Clock latency (source)</t>
  </si>
  <si>
    <t xml:space="preserve">source latency</t>
  </si>
  <si>
    <t xml:space="preserve">often absolute, not % T</t>
  </si>
  <si>
    <t xml:space="preserve">board/PLL; early estimate</t>
  </si>
  <si>
    <t xml:space="preserve">Clock latency (network)</t>
  </si>
  <si>
    <t xml:space="preserve">network pre-CTS</t>
  </si>
  <si>
    <t xml:space="preserve">0 ideal, or small % T</t>
  </si>
  <si>
    <t xml:space="preserve">pre-CTS; real after CTS</t>
  </si>
  <si>
    <t xml:space="preserve">Output load max</t>
  </si>
  <si>
    <t xml:space="preserve">all_outputs</t>
  </si>
  <si>
    <t xml:space="preserve">usually absolute (lib cap unit); optional %T only for scale play</t>
  </si>
  <si>
    <t xml:space="preserve">lib cap</t>
  </si>
  <si>
    <t xml:space="preserve">If % = 0 → uses Floor as absolute load. Check liberty cap unit!</t>
  </si>
  <si>
    <t xml:space="preserve">Output load min</t>
  </si>
  <si>
    <t xml:space="preserve">absolute or %T</t>
  </si>
  <si>
    <t xml:space="preserve">If % = 0 → uses Floor as absolute load</t>
  </si>
  <si>
    <t xml:space="preserve">BUDGET SANITY  —  external delay + uncertainty vs period</t>
  </si>
  <si>
    <t xml:space="preserve">Input max + Output max + Setup unc</t>
  </si>
  <si>
    <t xml:space="preserve">sum of key setup external budgets</t>
  </si>
  <si>
    <t xml:space="preserve">as % of T</t>
  </si>
  <si>
    <t xml:space="preserve">Remaining for internal logic (T − sum)</t>
  </si>
  <si>
    <t xml:space="preserve">rough R2R window after I/O+unc (idealized)</t>
  </si>
  <si>
    <t xml:space="preserve">Status</t>
  </si>
  <si>
    <t xml:space="preserve">GENERATED SDC STARTER KIT  (copy into .sdc — replace [all_inputs] exclusions for clk as needed)</t>
  </si>
  <si>
    <t xml:space="preserve">HOW TO USE</t>
  </si>
  <si>
    <t xml:space="preserve">1. Set Clock name, Period T, and Time unit (yellow cells).</t>
  </si>
  <si>
    <t xml:space="preserve">2. For each parameter, pick Percentile of T from the dropdown (shown as %). Floor = minimum absolute value (same unit as T).</t>
  </si>
  <si>
    <t xml:space="preserve">3. Calculated value = MAX(T × percentile, floor). Exception: Input transition min = MAX(tran_max × %, floor).</t>
  </si>
  <si>
    <t xml:space="preserve">4. Output load: leave % = 0% and set Floor to absolute cap; or set % to scale with T.</t>
  </si>
  <si>
    <t xml:space="preserve">5. Copy the Generated SDC block into your .sdc; exclude clk from all_inputs in real scripts.</t>
  </si>
  <si>
    <t xml:space="preserve">6. See sheet 'Thumb Rules' for recommended percentile bands; 'Presets' to apply Aggressive / Typical / Conservative in one click (paste values).</t>
  </si>
  <si>
    <t xml:space="preserve">SDC thumb-rule reference bands (% of period T)</t>
  </si>
  <si>
    <t xml:space="preserve">Aggressive</t>
  </si>
  <si>
    <t xml:space="preserve">Typical early synth</t>
  </si>
  <si>
    <t xml:space="preserve">Conservative</t>
  </si>
  <si>
    <t xml:space="preserve">Lab example (T=2ns)</t>
  </si>
  <si>
    <t xml:space="preserve">Unit notes</t>
  </si>
  <si>
    <t xml:space="preserve">2–3%</t>
  </si>
  <si>
    <t xml:space="preserve">3–7% (often 5%)</t>
  </si>
  <si>
    <t xml:space="preserve">8–10%+</t>
  </si>
  <si>
    <t xml:space="preserve">1% (20 ps) mild learning</t>
  </si>
  <si>
    <t xml:space="preserve">or floor 50–100 ps</t>
  </si>
  <si>
    <t xml:space="preserve">small / 1%</t>
  </si>
  <si>
    <t xml:space="preserve">1–3% or 20–50 ps</t>
  </si>
  <si>
    <t xml:space="preserve">larger</t>
  </si>
  <si>
    <t xml:space="preserve">0.5% (10 ps)</t>
  </si>
  <si>
    <t xml:space="preserve">floor often 20–50 ps</t>
  </si>
  <si>
    <t xml:space="preserve">10–20%</t>
  </si>
  <si>
    <t xml:space="preserve">20–40% (often 30%)</t>
  </si>
  <si>
    <t xml:space="preserve">40–60%</t>
  </si>
  <si>
    <t xml:space="preserve">10% (0.2 ns) light</t>
  </si>
  <si>
    <t xml:space="preserve">external launch</t>
  </si>
  <si>
    <t xml:space="preserve">near 0</t>
  </si>
  <si>
    <t xml:space="preserve">0–10% (~¼–½ of max)</t>
  </si>
  <si>
    <t xml:space="preserve">higher min</t>
  </si>
  <si>
    <t xml:space="preserve">0.05 ns</t>
  </si>
  <si>
    <t xml:space="preserve">hold on I2R</t>
  </si>
  <si>
    <t xml:space="preserve">10% (0.2 ns)</t>
  </si>
  <si>
    <t xml:space="preserve">external capture</t>
  </si>
  <si>
    <t xml:space="preserve">0–10%</t>
  </si>
  <si>
    <t xml:space="preserve">higher</t>
  </si>
  <si>
    <t xml:space="preserve">hold on R2O</t>
  </si>
  <si>
    <t xml:space="preserve">fast / low %</t>
  </si>
  <si>
    <t xml:space="preserve">5–15% T or 50–150 ps</t>
  </si>
  <si>
    <t xml:space="preserve">slow</t>
  </si>
  <si>
    <t xml:space="preserve">0.15 ns</t>
  </si>
  <si>
    <t xml:space="preserve">prefer driving_cell</t>
  </si>
  <si>
    <t xml:space="preserve">~20% of max</t>
  </si>
  <si>
    <t xml:space="preserve">30–50% of max</t>
  </si>
  <si>
    <t xml:space="preserve">% of max tran not T</t>
  </si>
  <si>
    <t xml:space="preserve">Output load</t>
  </si>
  <si>
    <t xml:space="preserve">under-load</t>
  </si>
  <si>
    <t xml:space="preserve">lib pin / board model</t>
  </si>
  <si>
    <t xml:space="preserve">over-load</t>
  </si>
  <si>
    <t xml:space="preserve">0.05 (check unit)</t>
  </si>
  <si>
    <t xml:space="preserve">NOT usually % of T</t>
  </si>
  <si>
    <t xml:space="preserve">Clock latency source</t>
  </si>
  <si>
    <t xml:space="preserve">from PLL</t>
  </si>
  <si>
    <t xml:space="preserve">0.1–0.5 ns early</t>
  </si>
  <si>
    <t xml:space="preserve">board + package</t>
  </si>
  <si>
    <t xml:space="preserve">—</t>
  </si>
  <si>
    <t xml:space="preserve">often absolute</t>
  </si>
  <si>
    <t xml:space="preserve">Formulas used in Calculator</t>
  </si>
  <si>
    <t xml:space="preserve">value = MAX(Period_T × Percentile, Floor)</t>
  </si>
  <si>
    <t xml:space="preserve">input_transition_min = MAX(input_transition_max × Percentile, Floor)</t>
  </si>
  <si>
    <t xml:space="preserve">load (when % = 0): value = Floor  (absolute cap in liberty units)</t>
  </si>
  <si>
    <t xml:space="preserve">budget_sum = input_delay_max + output_delay_max + setup_uncertainty</t>
  </si>
  <si>
    <t xml:space="preserve">remaining_for_logic ≈ T − budget_sum   (idealized; ignores clock network, derates, pads arcs)</t>
  </si>
  <si>
    <t xml:space="preserve">Warnings</t>
  </si>
  <si>
    <t xml:space="preserve">• These are starting points for synthesis / early STA — not foundry law.</t>
  </si>
  <si>
    <t xml:space="preserve">• Do not double-count pad arcs + large I/O delays.</t>
  </si>
  <si>
    <t xml:space="preserve">• Do not stack huge uncertainty + huge AOCV derates blindly.</t>
  </si>
  <si>
    <t xml:space="preserve">• Always exclude clock port from all_inputs when applying input delay/transition.</t>
  </si>
  <si>
    <t xml:space="preserve">• Check capacitance units (fF vs pF) for set_load vs liberty.</t>
  </si>
  <si>
    <t xml:space="preserve">• Signoff uncertainty comes from project STA cookbook (jitter, AOCV, CRPR, SI).</t>
  </si>
  <si>
    <t xml:space="preserve">One-click style presets — copy the % column into Calculator!D13:D23 (and loads separately)</t>
  </si>
  <si>
    <t xml:space="preserve">Typical (default)</t>
  </si>
  <si>
    <t xml:space="preserve">Calculator row</t>
  </si>
  <si>
    <t xml:space="preserve">Input transition min (of max_tran)</t>
  </si>
  <si>
    <t xml:space="preserve">Clock latency network</t>
  </si>
  <si>
    <t xml:space="preserve">How to apply a preset</t>
  </si>
  <si>
    <t xml:space="preserve">1. Choose a column (Aggressive / Typical / Conservative).</t>
  </si>
  <si>
    <t xml:space="preserve">2. Copy B4:B14 (or C or D) → paste Special → Values into Calculator D13:D23.</t>
  </si>
  <si>
    <t xml:space="preserve">3. Adjust Floor column and loads on Calculator as needed.</t>
  </si>
  <si>
    <t xml:space="preserve">4. Review Budget Sanity status and generated SDC.</t>
  </si>
  <si>
    <t xml:space="preserve">Live comparison at Calculator period T</t>
  </si>
  <si>
    <t xml:space="preserve">Aggressive value</t>
  </si>
  <si>
    <t xml:space="preserve">Typical value</t>
  </si>
  <si>
    <t xml:space="preserve">Conservative value</t>
  </si>
  <si>
    <t xml:space="preserve">Multi-clock batch  —  enter periods; choose profile %; values auto-fill</t>
  </si>
  <si>
    <t xml:space="preserve">Global profile for this sheet (affects default % row):</t>
  </si>
  <si>
    <t xml:space="preserve">Typical</t>
  </si>
  <si>
    <t xml:space="preserve">← dropdown</t>
  </si>
  <si>
    <t xml:space="preserve">Active % (setup unc / hold / in_max / in_min / out_max / out_min / tran_max)</t>
  </si>
  <si>
    <t xml:space="preserve">setup_unc %</t>
  </si>
  <si>
    <t xml:space="preserve">hold %</t>
  </si>
  <si>
    <t xml:space="preserve">in_max %</t>
  </si>
  <si>
    <t xml:space="preserve">in_min %</t>
  </si>
  <si>
    <t xml:space="preserve">out_max %</t>
  </si>
  <si>
    <t xml:space="preserve">tran_max %</t>
  </si>
  <si>
    <t xml:space="preserve">Clock</t>
  </si>
  <si>
    <t xml:space="preserve">Period T (ns)</t>
  </si>
  <si>
    <t xml:space="preserve">Freq (MHz)</t>
  </si>
  <si>
    <t xml:space="preserve">Setup unc</t>
  </si>
  <si>
    <t xml:space="preserve">Hold unc</t>
  </si>
  <si>
    <t xml:space="preserve">Input tran max</t>
  </si>
  <si>
    <t xml:space="preserve">Input tran min (33%)</t>
  </si>
  <si>
    <t xml:space="preserve">SDC create_clock</t>
  </si>
  <si>
    <t xml:space="preserve">CLK_FAST</t>
  </si>
  <si>
    <t xml:space="preserve">CLK_SLOW</t>
  </si>
  <si>
    <t xml:space="preserve">Edit yellow Clock / Period cells. Profile dropdown changes all % used in formulas. Add more rows by copying formulas down.</t>
  </si>
  <si>
    <t xml:space="preserve">Dropdown source lists (for maintenance)</t>
  </si>
  <si>
    <t xml:space="preserve">Percentile fractions</t>
  </si>
  <si>
    <t xml:space="preserve">Time units</t>
  </si>
  <si>
    <t xml:space="preserve">Profiles</t>
  </si>
  <si>
    <t xml:space="preserve">ps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</si>
</sst>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%"/>
    <numFmt numFmtId="167" formatCode="0.00"/>
    <numFmt numFmtId="168" formatCode="0%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Consolas"/>
      <family val="0"/>
      <charset val="1"/>
    </font>
    <font>
      <sz val="10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AF8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F13" activeCellId="0" sqref="F13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4.01"/>
    <col collapsed="false" customWidth="true" hidden="false" outlineLevel="0" max="5" min="5" style="0" width="11.99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61.99"/>
    <col collapsed="false" customWidth="true" hidden="false" outlineLevel="0" max="10" min="10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s">
        <v>4</v>
      </c>
      <c r="C5" s="6" t="s">
        <v>5</v>
      </c>
    </row>
    <row r="6" customFormat="false" ht="15" hidden="false" customHeight="false" outlineLevel="0" collapsed="false">
      <c r="A6" s="4" t="s">
        <v>6</v>
      </c>
      <c r="B6" s="7" t="n">
        <v>4</v>
      </c>
      <c r="C6" s="6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  <c r="C7" s="6" t="s">
        <v>10</v>
      </c>
    </row>
    <row r="8" customFormat="false" ht="15" hidden="false" customHeight="false" outlineLevel="0" collapsed="false">
      <c r="A8" s="4" t="s">
        <v>11</v>
      </c>
      <c r="B8" s="8" t="n">
        <f aca="false">IF(B7="ns",1000/B6,IF(B7="ps",1000000/B6,"—"))</f>
        <v>250</v>
      </c>
      <c r="C8" s="6" t="s">
        <v>12</v>
      </c>
    </row>
    <row r="9" customFormat="false" ht="15" hidden="false" customHeight="false" outlineLevel="0" collapsed="false">
      <c r="A9" s="4" t="s">
        <v>13</v>
      </c>
      <c r="B9" s="8" t="n">
        <f aca="false">0.05*B6</f>
        <v>0.2</v>
      </c>
      <c r="C9" s="6" t="s">
        <v>14</v>
      </c>
    </row>
    <row r="11" customFormat="false" ht="15" hidden="false" customHeight="false" outlineLevel="0" collapsed="false">
      <c r="A11" s="3" t="s">
        <v>15</v>
      </c>
      <c r="B11" s="3"/>
      <c r="C11" s="3"/>
      <c r="D11" s="3"/>
      <c r="E11" s="3"/>
      <c r="F11" s="3"/>
      <c r="G11" s="3"/>
      <c r="H11" s="3"/>
      <c r="I11" s="3"/>
      <c r="J11" s="3"/>
    </row>
    <row r="12" customFormat="false" ht="36" hidden="false" customHeight="true" outlineLevel="0" collapsed="false">
      <c r="A12" s="9" t="s">
        <v>16</v>
      </c>
      <c r="B12" s="9" t="s">
        <v>17</v>
      </c>
      <c r="C12" s="9" t="s">
        <v>18</v>
      </c>
      <c r="D12" s="9" t="s">
        <v>19</v>
      </c>
      <c r="E12" s="9" t="s">
        <v>20</v>
      </c>
      <c r="F12" s="9" t="s">
        <v>21</v>
      </c>
      <c r="G12" s="9" t="s">
        <v>22</v>
      </c>
      <c r="H12" s="9" t="s">
        <v>23</v>
      </c>
      <c r="I12" s="9" t="s">
        <v>24</v>
      </c>
      <c r="J12" s="9" t="s">
        <v>25</v>
      </c>
    </row>
    <row r="13" customFormat="false" ht="15" hidden="false" customHeight="false" outlineLevel="0" collapsed="false">
      <c r="A13" s="10" t="s">
        <v>26</v>
      </c>
      <c r="B13" s="11" t="s">
        <v>27</v>
      </c>
      <c r="C13" s="12" t="s">
        <v>28</v>
      </c>
      <c r="D13" s="13" t="n">
        <v>0.05</v>
      </c>
      <c r="E13" s="8" t="n">
        <f aca="false">D13</f>
        <v>0.05</v>
      </c>
      <c r="F13" s="7" t="n">
        <v>0.05</v>
      </c>
      <c r="G13" s="8" t="n">
        <f aca="false">MAX($B$6*D13,F13)</f>
        <v>0.2</v>
      </c>
      <c r="H13" s="14" t="str">
        <f aca="false">$B$7</f>
        <v>ns</v>
      </c>
      <c r="I13" s="15" t="str">
        <f aca="false">CONCATENATE("set_clock_uncertainty -setup ",TEXT(G13,"0.000")," [get_clocks ",$B$5,"]")</f>
        <v>set_clock_uncertainty -setup 0.200 [get_clocks CLK]</v>
      </c>
      <c r="J13" s="12" t="s">
        <v>29</v>
      </c>
    </row>
    <row r="14" customFormat="false" ht="15" hidden="false" customHeight="false" outlineLevel="0" collapsed="false">
      <c r="A14" s="10" t="s">
        <v>30</v>
      </c>
      <c r="B14" s="11" t="s">
        <v>31</v>
      </c>
      <c r="C14" s="12" t="s">
        <v>32</v>
      </c>
      <c r="D14" s="13" t="n">
        <v>0.02</v>
      </c>
      <c r="E14" s="8" t="n">
        <f aca="false">D14</f>
        <v>0.02</v>
      </c>
      <c r="F14" s="7" t="n">
        <v>0.02</v>
      </c>
      <c r="G14" s="8" t="n">
        <f aca="false">MAX($B$6*D14,F14)</f>
        <v>0.08</v>
      </c>
      <c r="H14" s="14" t="str">
        <f aca="false">$B$7</f>
        <v>ns</v>
      </c>
      <c r="I14" s="15" t="str">
        <f aca="false">CONCATENATE("set_clock_uncertainty -hold ",TEXT(G14,"0.000")," [get_clocks ",$B$5,"]")</f>
        <v>set_clock_uncertainty -hold 0.080 [get_clocks CLK]</v>
      </c>
      <c r="J14" s="12" t="s">
        <v>33</v>
      </c>
    </row>
    <row r="15" customFormat="false" ht="15" hidden="false" customHeight="false" outlineLevel="0" collapsed="false">
      <c r="A15" s="10" t="s">
        <v>34</v>
      </c>
      <c r="B15" s="11" t="s">
        <v>35</v>
      </c>
      <c r="C15" s="12" t="s">
        <v>36</v>
      </c>
      <c r="D15" s="13" t="n">
        <v>0.3</v>
      </c>
      <c r="E15" s="8" t="n">
        <f aca="false">D15</f>
        <v>0.3</v>
      </c>
      <c r="F15" s="7" t="n">
        <v>0</v>
      </c>
      <c r="G15" s="8" t="n">
        <f aca="false">MAX($B$6*D15,F15)</f>
        <v>1.2</v>
      </c>
      <c r="H15" s="14" t="str">
        <f aca="false">$B$7</f>
        <v>ns</v>
      </c>
      <c r="I15" s="15" t="str">
        <f aca="false">CONCATENATE("set_input_delay -max ",TEXT(G15,"0.000")," -clock ",$B$5," [all_inputs]")</f>
        <v>set_input_delay -max 1.200 -clock CLK [all_inputs]</v>
      </c>
      <c r="J15" s="12" t="s">
        <v>37</v>
      </c>
    </row>
    <row r="16" customFormat="false" ht="15" hidden="false" customHeight="false" outlineLevel="0" collapsed="false">
      <c r="A16" s="10" t="s">
        <v>38</v>
      </c>
      <c r="B16" s="11" t="s">
        <v>39</v>
      </c>
      <c r="C16" s="12" t="s">
        <v>40</v>
      </c>
      <c r="D16" s="13" t="n">
        <v>0.1</v>
      </c>
      <c r="E16" s="8" t="n">
        <f aca="false">D16</f>
        <v>0.1</v>
      </c>
      <c r="F16" s="7" t="n">
        <v>0</v>
      </c>
      <c r="G16" s="8" t="n">
        <f aca="false">MAX($B$6*D16,F16)</f>
        <v>0.4</v>
      </c>
      <c r="H16" s="14" t="str">
        <f aca="false">$B$7</f>
        <v>ns</v>
      </c>
      <c r="I16" s="15" t="str">
        <f aca="false">CONCATENATE("set_input_delay -min ",TEXT(G16,"0.000")," -clock ",$B$5," [all_inputs]")</f>
        <v>set_input_delay -min 0.400 -clock CLK [all_inputs]</v>
      </c>
      <c r="J16" s="12" t="s">
        <v>41</v>
      </c>
    </row>
    <row r="17" customFormat="false" ht="15" hidden="false" customHeight="false" outlineLevel="0" collapsed="false">
      <c r="A17" s="10" t="s">
        <v>42</v>
      </c>
      <c r="B17" s="11" t="s">
        <v>43</v>
      </c>
      <c r="C17" s="12" t="s">
        <v>36</v>
      </c>
      <c r="D17" s="13" t="n">
        <v>0.3</v>
      </c>
      <c r="E17" s="8" t="n">
        <f aca="false">D17</f>
        <v>0.3</v>
      </c>
      <c r="F17" s="7" t="n">
        <v>0</v>
      </c>
      <c r="G17" s="8" t="n">
        <f aca="false">MAX($B$6*D17,F17)</f>
        <v>1.2</v>
      </c>
      <c r="H17" s="14" t="str">
        <f aca="false">$B$7</f>
        <v>ns</v>
      </c>
      <c r="I17" s="15" t="str">
        <f aca="false">CONCATENATE("set_output_delay -max ",TEXT(G17,"0.000")," -clock ",$B$5," [all_outputs]")</f>
        <v>set_output_delay -max 1.200 -clock CLK [all_outputs]</v>
      </c>
      <c r="J17" s="12" t="s">
        <v>44</v>
      </c>
    </row>
    <row r="18" customFormat="false" ht="15" hidden="false" customHeight="false" outlineLevel="0" collapsed="false">
      <c r="A18" s="10" t="s">
        <v>45</v>
      </c>
      <c r="B18" s="11" t="s">
        <v>46</v>
      </c>
      <c r="C18" s="12" t="s">
        <v>40</v>
      </c>
      <c r="D18" s="13" t="n">
        <v>0.1</v>
      </c>
      <c r="E18" s="8" t="n">
        <f aca="false">D18</f>
        <v>0.1</v>
      </c>
      <c r="F18" s="7" t="n">
        <v>0</v>
      </c>
      <c r="G18" s="8" t="n">
        <f aca="false">MAX($B$6*D18,F18)</f>
        <v>0.4</v>
      </c>
      <c r="H18" s="14" t="str">
        <f aca="false">$B$7</f>
        <v>ns</v>
      </c>
      <c r="I18" s="15" t="str">
        <f aca="false">CONCATENATE("set_output_delay -min ",TEXT(G18,"0.000")," -clock ",$B$5," [all_outputs]")</f>
        <v>set_output_delay -min 0.400 -clock CLK [all_outputs]</v>
      </c>
      <c r="J18" s="12" t="s">
        <v>47</v>
      </c>
    </row>
    <row r="19" customFormat="false" ht="15" hidden="false" customHeight="false" outlineLevel="0" collapsed="false">
      <c r="A19" s="10" t="s">
        <v>48</v>
      </c>
      <c r="B19" s="11" t="s">
        <v>49</v>
      </c>
      <c r="C19" s="12" t="s">
        <v>50</v>
      </c>
      <c r="D19" s="13" t="n">
        <v>0.075</v>
      </c>
      <c r="E19" s="8" t="n">
        <f aca="false">D19</f>
        <v>0.075</v>
      </c>
      <c r="F19" s="7" t="n">
        <v>0</v>
      </c>
      <c r="G19" s="8" t="n">
        <f aca="false">MAX($B$6*D19,F19)</f>
        <v>0.3</v>
      </c>
      <c r="H19" s="14" t="str">
        <f aca="false">$B$7</f>
        <v>ns</v>
      </c>
      <c r="I19" s="15" t="str">
        <f aca="false">CONCATENATE("set_input_transition -max ",TEXT(G19,"0.000")," [all_inputs]")</f>
        <v>set_input_transition -max 0.300 [all_inputs]</v>
      </c>
      <c r="J19" s="12" t="s">
        <v>51</v>
      </c>
    </row>
    <row r="20" customFormat="false" ht="15" hidden="false" customHeight="false" outlineLevel="0" collapsed="false">
      <c r="A20" s="10" t="s">
        <v>52</v>
      </c>
      <c r="B20" s="11" t="s">
        <v>53</v>
      </c>
      <c r="C20" s="12" t="s">
        <v>54</v>
      </c>
      <c r="D20" s="13" t="n">
        <v>0.33</v>
      </c>
      <c r="E20" s="8" t="n">
        <f aca="false">D20</f>
        <v>0.33</v>
      </c>
      <c r="F20" s="7" t="n">
        <v>0</v>
      </c>
      <c r="G20" s="8" t="n">
        <f aca="false">MAX(G19*D20,F20)</f>
        <v>0.099</v>
      </c>
      <c r="H20" s="14" t="str">
        <f aca="false">$B$7</f>
        <v>ns</v>
      </c>
      <c r="I20" s="15" t="str">
        <f aca="false">CONCATENATE("set_input_transition -min ",TEXT(G20,"0.000")," [all_inputs]")</f>
        <v>set_input_transition -min 0.099 [all_inputs]</v>
      </c>
      <c r="J20" s="12" t="s">
        <v>55</v>
      </c>
    </row>
    <row r="21" customFormat="false" ht="15" hidden="false" customHeight="false" outlineLevel="0" collapsed="false">
      <c r="A21" s="10" t="s">
        <v>56</v>
      </c>
      <c r="B21" s="11" t="s">
        <v>57</v>
      </c>
      <c r="C21" s="12" t="s">
        <v>58</v>
      </c>
      <c r="D21" s="13" t="n">
        <v>0.05</v>
      </c>
      <c r="E21" s="8" t="n">
        <f aca="false">D21</f>
        <v>0.05</v>
      </c>
      <c r="F21" s="7" t="n">
        <v>0</v>
      </c>
      <c r="G21" s="8" t="n">
        <f aca="false">MAX($B$6*D21,F21)</f>
        <v>0.2</v>
      </c>
      <c r="H21" s="14" t="str">
        <f aca="false">$B$7</f>
        <v>ns</v>
      </c>
      <c r="I21" s="15" t="str">
        <f aca="false">CONCATENATE("set_clock_transition ",TEXT(G21,"0.000")," [get_clocks ",$B$5,"]")</f>
        <v>set_clock_transition 0.200 [get_clocks CLK]</v>
      </c>
      <c r="J21" s="12" t="s">
        <v>59</v>
      </c>
    </row>
    <row r="22" customFormat="false" ht="15" hidden="false" customHeight="false" outlineLevel="0" collapsed="false">
      <c r="A22" s="10" t="s">
        <v>60</v>
      </c>
      <c r="B22" s="11" t="s">
        <v>61</v>
      </c>
      <c r="C22" s="12" t="s">
        <v>62</v>
      </c>
      <c r="D22" s="13" t="n">
        <v>0.1</v>
      </c>
      <c r="E22" s="8" t="n">
        <f aca="false">D22</f>
        <v>0.1</v>
      </c>
      <c r="F22" s="7" t="n">
        <v>0</v>
      </c>
      <c r="G22" s="8" t="n">
        <f aca="false">MAX($B$6*D22,F22)</f>
        <v>0.4</v>
      </c>
      <c r="H22" s="14" t="str">
        <f aca="false">$B$7</f>
        <v>ns</v>
      </c>
      <c r="I22" s="15" t="str">
        <f aca="false">CONCATENATE("set_clock_latency -source ",TEXT(G22,"0.000")," [get_clocks ",$B$5,"]")</f>
        <v>set_clock_latency -source 0.400 [get_clocks CLK]</v>
      </c>
      <c r="J22" s="12" t="s">
        <v>63</v>
      </c>
    </row>
    <row r="23" customFormat="false" ht="15" hidden="false" customHeight="false" outlineLevel="0" collapsed="false">
      <c r="A23" s="10" t="s">
        <v>64</v>
      </c>
      <c r="B23" s="11" t="s">
        <v>65</v>
      </c>
      <c r="C23" s="12" t="s">
        <v>66</v>
      </c>
      <c r="D23" s="13" t="n">
        <v>0</v>
      </c>
      <c r="E23" s="8" t="n">
        <f aca="false">D23</f>
        <v>0</v>
      </c>
      <c r="F23" s="7" t="n">
        <v>0</v>
      </c>
      <c r="G23" s="8" t="n">
        <f aca="false">MAX($B$6*D23,F23)</f>
        <v>0</v>
      </c>
      <c r="H23" s="14" t="str">
        <f aca="false">$B$7</f>
        <v>ns</v>
      </c>
      <c r="I23" s="15" t="str">
        <f aca="false">CONCATENATE("set_clock_latency ",TEXT(G23,"0.000")," [get_clocks ",$B$5,"]")</f>
        <v>set_clock_latency 0.000 [get_clocks CLK]</v>
      </c>
      <c r="J23" s="12" t="s">
        <v>67</v>
      </c>
    </row>
    <row r="24" customFormat="false" ht="15" hidden="false" customHeight="false" outlineLevel="0" collapsed="false">
      <c r="A24" s="10" t="s">
        <v>68</v>
      </c>
      <c r="B24" s="11" t="s">
        <v>69</v>
      </c>
      <c r="C24" s="12" t="s">
        <v>70</v>
      </c>
      <c r="D24" s="13" t="n">
        <v>0</v>
      </c>
      <c r="E24" s="8" t="n">
        <f aca="false">D24</f>
        <v>0</v>
      </c>
      <c r="F24" s="7" t="n">
        <v>0.05</v>
      </c>
      <c r="G24" s="8" t="n">
        <f aca="false">IF(D24=0,F24,MAX($B$6*D24,F24))</f>
        <v>0.05</v>
      </c>
      <c r="H24" s="16" t="s">
        <v>71</v>
      </c>
      <c r="I24" s="17" t="str">
        <f aca="false">CONCATENATE("set_load -max ",TEXT(G24,"0.000")," [all_outputs]")</f>
        <v>set_load -max 0.050 [all_outputs]</v>
      </c>
      <c r="J24" s="12" t="s">
        <v>72</v>
      </c>
    </row>
    <row r="25" customFormat="false" ht="15" hidden="false" customHeight="false" outlineLevel="0" collapsed="false">
      <c r="A25" s="10" t="s">
        <v>73</v>
      </c>
      <c r="B25" s="11" t="s">
        <v>69</v>
      </c>
      <c r="C25" s="12" t="s">
        <v>74</v>
      </c>
      <c r="D25" s="13" t="n">
        <v>0</v>
      </c>
      <c r="E25" s="8" t="n">
        <f aca="false">D25</f>
        <v>0</v>
      </c>
      <c r="F25" s="7" t="n">
        <v>0.01</v>
      </c>
      <c r="G25" s="8" t="n">
        <f aca="false">IF(D25=0,F25,MAX($B$6*D25,F25))</f>
        <v>0.01</v>
      </c>
      <c r="H25" s="16" t="s">
        <v>71</v>
      </c>
      <c r="I25" s="17" t="str">
        <f aca="false">CONCATENATE("set_load -min ",TEXT(G25,"0.000")," [all_outputs]")</f>
        <v>set_load -min 0.010 [all_outputs]</v>
      </c>
      <c r="J25" s="12" t="s">
        <v>75</v>
      </c>
    </row>
    <row r="27" customFormat="false" ht="15" hidden="false" customHeight="false" outlineLevel="0" collapsed="false">
      <c r="A27" s="3" t="s">
        <v>76</v>
      </c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false" outlineLevel="0" collapsed="false">
      <c r="A28" s="4" t="s">
        <v>77</v>
      </c>
      <c r="B28" s="18" t="n">
        <f aca="false">G15+G17+G13</f>
        <v>2.6</v>
      </c>
      <c r="C28" s="6" t="s">
        <v>78</v>
      </c>
      <c r="D28" s="4" t="s">
        <v>79</v>
      </c>
      <c r="E28" s="19" t="n">
        <f aca="false">IF($B$6=0,0,B28/$B$6)</f>
        <v>0.65</v>
      </c>
    </row>
    <row r="29" customFormat="false" ht="15" hidden="false" customHeight="false" outlineLevel="0" collapsed="false">
      <c r="A29" s="4" t="s">
        <v>80</v>
      </c>
      <c r="B29" s="18" t="n">
        <f aca="false">$B$6-B28</f>
        <v>1.4</v>
      </c>
      <c r="C29" s="6" t="s">
        <v>81</v>
      </c>
      <c r="D29" s="4" t="s">
        <v>79</v>
      </c>
      <c r="E29" s="19" t="n">
        <f aca="false">IF($B$6=0,0,B29/$B$6)</f>
        <v>0.35</v>
      </c>
    </row>
    <row r="30" customFormat="false" ht="15" hidden="false" customHeight="false" outlineLevel="0" collapsed="false">
      <c r="A30" s="4" t="s">
        <v>82</v>
      </c>
      <c r="B30" s="20" t="str">
        <f aca="false">IF(B29&lt;=0,"FAIL — external budgets ≥ T",IF(E28&gt;0.8,"TIGHT — &gt;80% period in I/O+unc",IF(E28&gt;0.6,"OK-ish — watch QoR","COMFORTABLE")))</f>
        <v>OK-ish — watch QoR</v>
      </c>
      <c r="C30" s="6"/>
      <c r="D30" s="4"/>
      <c r="E30" s="20"/>
    </row>
    <row r="32" customFormat="false" ht="15" hidden="false" customHeight="false" outlineLevel="0" collapsed="false">
      <c r="A32" s="3" t="s">
        <v>83</v>
      </c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false" outlineLevel="0" collapsed="false">
      <c r="A33" s="21" t="str">
        <f aca="false">CONCATENATE("create_clock -name ",$B$5," -period ",TEXT($B$6,"0.000")," [get_ports clk]")</f>
        <v>create_clock -name CLK -period 4.000 [get_ports clk]</v>
      </c>
      <c r="B33" s="21"/>
      <c r="C33" s="21"/>
      <c r="D33" s="21"/>
      <c r="E33" s="21"/>
      <c r="F33" s="21"/>
      <c r="G33" s="21"/>
      <c r="H33" s="21"/>
      <c r="I33" s="21"/>
      <c r="J33" s="21"/>
    </row>
    <row r="34" customFormat="false" ht="15" hidden="false" customHeight="false" outlineLevel="0" collapsed="false">
      <c r="A34" s="21" t="str">
        <f aca="false">I13</f>
        <v>set_clock_uncertainty -setup 0.200 [get_clocks CLK]</v>
      </c>
      <c r="B34" s="21"/>
      <c r="C34" s="21"/>
      <c r="D34" s="21"/>
      <c r="E34" s="21"/>
      <c r="F34" s="21"/>
      <c r="G34" s="21"/>
      <c r="H34" s="21"/>
      <c r="I34" s="21"/>
      <c r="J34" s="21"/>
    </row>
    <row r="35" customFormat="false" ht="15" hidden="false" customHeight="false" outlineLevel="0" collapsed="false">
      <c r="A35" s="21" t="str">
        <f aca="false">I14</f>
        <v>set_clock_uncertainty -hold 0.080 [get_clocks CLK]</v>
      </c>
      <c r="B35" s="21"/>
      <c r="C35" s="21"/>
      <c r="D35" s="21"/>
      <c r="E35" s="21"/>
      <c r="F35" s="21"/>
      <c r="G35" s="21"/>
      <c r="H35" s="21"/>
      <c r="I35" s="21"/>
      <c r="J35" s="21"/>
    </row>
    <row r="36" customFormat="false" ht="15" hidden="false" customHeight="false" outlineLevel="0" collapsed="false">
      <c r="A36" s="21" t="str">
        <f aca="false">I15</f>
        <v>set_input_delay -max 1.200 -clock CLK [all_inputs]</v>
      </c>
      <c r="B36" s="21"/>
      <c r="C36" s="21"/>
      <c r="D36" s="21"/>
      <c r="E36" s="21"/>
      <c r="F36" s="21"/>
      <c r="G36" s="21"/>
      <c r="H36" s="21"/>
      <c r="I36" s="21"/>
      <c r="J36" s="21"/>
    </row>
    <row r="37" customFormat="false" ht="15" hidden="false" customHeight="false" outlineLevel="0" collapsed="false">
      <c r="A37" s="21" t="str">
        <f aca="false">I16</f>
        <v>set_input_delay -min 0.400 -clock CLK [all_inputs]</v>
      </c>
      <c r="B37" s="21"/>
      <c r="C37" s="21"/>
      <c r="D37" s="21"/>
      <c r="E37" s="21"/>
      <c r="F37" s="21"/>
      <c r="G37" s="21"/>
      <c r="H37" s="21"/>
      <c r="I37" s="21"/>
      <c r="J37" s="21"/>
    </row>
    <row r="38" customFormat="false" ht="15" hidden="false" customHeight="false" outlineLevel="0" collapsed="false">
      <c r="A38" s="21" t="str">
        <f aca="false">I17</f>
        <v>set_output_delay -max 1.200 -clock CLK [all_outputs]</v>
      </c>
      <c r="B38" s="21"/>
      <c r="C38" s="21"/>
      <c r="D38" s="21"/>
      <c r="E38" s="21"/>
      <c r="F38" s="21"/>
      <c r="G38" s="21"/>
      <c r="H38" s="21"/>
      <c r="I38" s="21"/>
      <c r="J38" s="21"/>
    </row>
    <row r="39" customFormat="false" ht="15" hidden="false" customHeight="false" outlineLevel="0" collapsed="false">
      <c r="A39" s="21" t="str">
        <f aca="false">I18</f>
        <v>set_output_delay -min 0.400 -clock CLK [all_outputs]</v>
      </c>
      <c r="B39" s="21"/>
      <c r="C39" s="21"/>
      <c r="D39" s="21"/>
      <c r="E39" s="21"/>
      <c r="F39" s="21"/>
      <c r="G39" s="21"/>
      <c r="H39" s="21"/>
      <c r="I39" s="21"/>
      <c r="J39" s="21"/>
    </row>
    <row r="40" customFormat="false" ht="15" hidden="false" customHeight="false" outlineLevel="0" collapsed="false">
      <c r="A40" s="21" t="str">
        <f aca="false">I19</f>
        <v>set_input_transition -max 0.300 [all_inputs]</v>
      </c>
      <c r="B40" s="21"/>
      <c r="C40" s="21"/>
      <c r="D40" s="21"/>
      <c r="E40" s="21"/>
      <c r="F40" s="21"/>
      <c r="G40" s="21"/>
      <c r="H40" s="21"/>
      <c r="I40" s="21"/>
      <c r="J40" s="21"/>
    </row>
    <row r="41" customFormat="false" ht="15" hidden="false" customHeight="false" outlineLevel="0" collapsed="false">
      <c r="A41" s="21" t="str">
        <f aca="false">I20</f>
        <v>set_input_transition -min 0.099 [all_inputs]</v>
      </c>
      <c r="B41" s="21"/>
      <c r="C41" s="21"/>
      <c r="D41" s="21"/>
      <c r="E41" s="21"/>
      <c r="F41" s="21"/>
      <c r="G41" s="21"/>
      <c r="H41" s="21"/>
      <c r="I41" s="21"/>
      <c r="J41" s="21"/>
    </row>
    <row r="42" customFormat="false" ht="15" hidden="false" customHeight="false" outlineLevel="0" collapsed="false">
      <c r="A42" s="21" t="str">
        <f aca="false">I24</f>
        <v>set_load -max 0.050 [all_outputs]</v>
      </c>
      <c r="B42" s="21"/>
      <c r="C42" s="21"/>
      <c r="D42" s="21"/>
      <c r="E42" s="21"/>
      <c r="F42" s="21"/>
      <c r="G42" s="21"/>
      <c r="H42" s="21"/>
      <c r="I42" s="21"/>
      <c r="J42" s="21"/>
    </row>
    <row r="43" customFormat="false" ht="15" hidden="false" customHeight="false" outlineLevel="0" collapsed="false">
      <c r="A43" s="21" t="str">
        <f aca="false">I25</f>
        <v>set_load -min 0.010 [all_outputs]</v>
      </c>
      <c r="B43" s="21"/>
      <c r="C43" s="21"/>
      <c r="D43" s="21"/>
      <c r="E43" s="21"/>
      <c r="F43" s="21"/>
      <c r="G43" s="21"/>
      <c r="H43" s="21"/>
      <c r="I43" s="21"/>
      <c r="J43" s="21"/>
    </row>
    <row r="44" customFormat="false" ht="15" hidden="false" customHeight="false" outlineLevel="0" collapsed="false">
      <c r="A44" s="21" t="str">
        <f aca="false">CONCATENATE("# Period T=",TEXT($B$6,"0.000")," ",$B$7,"  |  f=",TEXT($B$8,"0.00")," MHz  |  generated by SDC Formulation Calculator")</f>
        <v># Period T=4.000 ns  |  f=250.00 MHz  |  generated by SDC Formulation Calculator</v>
      </c>
      <c r="B44" s="21"/>
      <c r="C44" s="21"/>
      <c r="D44" s="21"/>
      <c r="E44" s="21"/>
      <c r="F44" s="21"/>
      <c r="G44" s="21"/>
      <c r="H44" s="21"/>
      <c r="I44" s="21"/>
      <c r="J44" s="21"/>
    </row>
    <row r="46" customFormat="false" ht="15" hidden="false" customHeight="false" outlineLevel="0" collapsed="false">
      <c r="A46" s="3" t="s">
        <v>84</v>
      </c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false" outlineLevel="0" collapsed="false">
      <c r="A47" s="22" t="s">
        <v>85</v>
      </c>
      <c r="B47" s="22"/>
      <c r="C47" s="22"/>
      <c r="D47" s="22"/>
      <c r="E47" s="22"/>
      <c r="F47" s="22"/>
      <c r="G47" s="22"/>
      <c r="H47" s="22"/>
      <c r="I47" s="22"/>
      <c r="J47" s="22"/>
    </row>
    <row r="48" customFormat="false" ht="15" hidden="false" customHeight="false" outlineLevel="0" collapsed="false">
      <c r="A48" s="22" t="s">
        <v>86</v>
      </c>
      <c r="B48" s="22"/>
      <c r="C48" s="22"/>
      <c r="D48" s="22"/>
      <c r="E48" s="22"/>
      <c r="F48" s="22"/>
      <c r="G48" s="22"/>
      <c r="H48" s="22"/>
      <c r="I48" s="22"/>
      <c r="J48" s="22"/>
    </row>
    <row r="49" customFormat="false" ht="15" hidden="false" customHeight="false" outlineLevel="0" collapsed="false">
      <c r="A49" s="22" t="s">
        <v>87</v>
      </c>
      <c r="B49" s="22"/>
      <c r="C49" s="22"/>
      <c r="D49" s="22"/>
      <c r="E49" s="22"/>
      <c r="F49" s="22"/>
      <c r="G49" s="22"/>
      <c r="H49" s="22"/>
      <c r="I49" s="22"/>
      <c r="J49" s="22"/>
    </row>
    <row r="50" customFormat="false" ht="15" hidden="false" customHeight="false" outlineLevel="0" collapsed="false">
      <c r="A50" s="22" t="s">
        <v>88</v>
      </c>
      <c r="B50" s="22"/>
      <c r="C50" s="22"/>
      <c r="D50" s="22"/>
      <c r="E50" s="22"/>
      <c r="F50" s="22"/>
      <c r="G50" s="22"/>
      <c r="H50" s="22"/>
      <c r="I50" s="22"/>
      <c r="J50" s="22"/>
    </row>
    <row r="51" customFormat="false" ht="15" hidden="false" customHeight="false" outlineLevel="0" collapsed="false">
      <c r="A51" s="22" t="s">
        <v>89</v>
      </c>
      <c r="B51" s="22"/>
      <c r="C51" s="22"/>
      <c r="D51" s="22"/>
      <c r="E51" s="22"/>
      <c r="F51" s="22"/>
      <c r="G51" s="22"/>
      <c r="H51" s="22"/>
      <c r="I51" s="22"/>
      <c r="J51" s="22"/>
    </row>
    <row r="52" customFormat="false" ht="15" hidden="false" customHeight="false" outlineLevel="0" collapsed="false">
      <c r="A52" s="22" t="s">
        <v>90</v>
      </c>
      <c r="B52" s="22"/>
      <c r="C52" s="22"/>
      <c r="D52" s="22"/>
      <c r="E52" s="22"/>
      <c r="F52" s="22"/>
      <c r="G52" s="22"/>
      <c r="H52" s="22"/>
      <c r="I52" s="22"/>
      <c r="J52" s="22"/>
    </row>
  </sheetData>
  <mergeCells count="25">
    <mergeCell ref="A1:J1"/>
    <mergeCell ref="A2:J2"/>
    <mergeCell ref="A4:B4"/>
    <mergeCell ref="A11:J11"/>
    <mergeCell ref="A27:J27"/>
    <mergeCell ref="A32:J32"/>
    <mergeCell ref="A33:J33"/>
    <mergeCell ref="A34:J34"/>
    <mergeCell ref="A35:J35"/>
    <mergeCell ref="A36:J36"/>
    <mergeCell ref="A37:J37"/>
    <mergeCell ref="A38:J38"/>
    <mergeCell ref="A39:J39"/>
    <mergeCell ref="A40:J40"/>
    <mergeCell ref="A41:J41"/>
    <mergeCell ref="A42:J42"/>
    <mergeCell ref="A43:J43"/>
    <mergeCell ref="A44:J44"/>
    <mergeCell ref="A46:J46"/>
    <mergeCell ref="A47:J47"/>
    <mergeCell ref="A48:J48"/>
    <mergeCell ref="A49:J49"/>
    <mergeCell ref="A50:J50"/>
    <mergeCell ref="A51:J51"/>
    <mergeCell ref="A52:J52"/>
  </mergeCells>
  <dataValidations count="2">
    <dataValidation allowBlank="false" error="Choose ns or ps" errorStyle="stop" errorTitle="Time unit" operator="between" showDropDown="false" showErrorMessage="false" showInputMessage="false" sqref="B7" type="list">
      <formula1>"ns,ps"</formula1>
      <formula2>0</formula2>
    </dataValidation>
    <dataValidation allowBlank="false" errorStyle="stop" operator="between" prompt="Select fraction of period T (0.05 = 5%)" promptTitle="Percentile of T" showDropDown="false" showErrorMessage="false" showInputMessage="false" sqref="D13:D25" type="list">
      <formula1>"0,0.01,0.02,0.03,0.05,0.07,0.08,0.1,0.15,0.2,0.25,0.3,0.33,0.35,0.4,0.5,0.6"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16"/>
    <col collapsed="false" customWidth="true" hidden="false" outlineLevel="0" max="3" min="3" style="0" width="22.01"/>
    <col collapsed="false" customWidth="true" hidden="false" outlineLevel="0" max="4" min="4" style="0" width="18"/>
    <col collapsed="false" customWidth="true" hidden="false" outlineLevel="0" max="6" min="5" style="0" width="22.01"/>
  </cols>
  <sheetData>
    <row r="1" customFormat="false" ht="25.5" hidden="false" customHeight="true" outlineLevel="0" collapsed="false">
      <c r="A1" s="23" t="s">
        <v>91</v>
      </c>
      <c r="B1" s="23"/>
      <c r="C1" s="23"/>
      <c r="D1" s="23"/>
      <c r="E1" s="23"/>
      <c r="F1" s="23"/>
    </row>
    <row r="3" customFormat="false" ht="15" hidden="false" customHeight="false" outlineLevel="0" collapsed="false">
      <c r="A3" s="9" t="s">
        <v>16</v>
      </c>
      <c r="B3" s="9" t="s">
        <v>92</v>
      </c>
      <c r="C3" s="9" t="s">
        <v>93</v>
      </c>
      <c r="D3" s="9" t="s">
        <v>94</v>
      </c>
      <c r="E3" s="9" t="s">
        <v>95</v>
      </c>
      <c r="F3" s="9" t="s">
        <v>96</v>
      </c>
    </row>
    <row r="4" customFormat="false" ht="15" hidden="false" customHeight="false" outlineLevel="0" collapsed="false">
      <c r="A4" s="11" t="s">
        <v>26</v>
      </c>
      <c r="B4" s="11" t="s">
        <v>97</v>
      </c>
      <c r="C4" s="11" t="s">
        <v>98</v>
      </c>
      <c r="D4" s="11" t="s">
        <v>99</v>
      </c>
      <c r="E4" s="11" t="s">
        <v>100</v>
      </c>
      <c r="F4" s="11" t="s">
        <v>101</v>
      </c>
    </row>
    <row r="5" customFormat="false" ht="15" hidden="false" customHeight="false" outlineLevel="0" collapsed="false">
      <c r="A5" s="24" t="s">
        <v>30</v>
      </c>
      <c r="B5" s="24" t="s">
        <v>102</v>
      </c>
      <c r="C5" s="24" t="s">
        <v>103</v>
      </c>
      <c r="D5" s="24" t="s">
        <v>104</v>
      </c>
      <c r="E5" s="24" t="s">
        <v>105</v>
      </c>
      <c r="F5" s="24" t="s">
        <v>106</v>
      </c>
    </row>
    <row r="6" customFormat="false" ht="15" hidden="false" customHeight="false" outlineLevel="0" collapsed="false">
      <c r="A6" s="11" t="s">
        <v>34</v>
      </c>
      <c r="B6" s="11" t="s">
        <v>107</v>
      </c>
      <c r="C6" s="11" t="s">
        <v>108</v>
      </c>
      <c r="D6" s="11" t="s">
        <v>109</v>
      </c>
      <c r="E6" s="11" t="s">
        <v>110</v>
      </c>
      <c r="F6" s="11" t="s">
        <v>111</v>
      </c>
    </row>
    <row r="7" customFormat="false" ht="15" hidden="false" customHeight="false" outlineLevel="0" collapsed="false">
      <c r="A7" s="24" t="s">
        <v>38</v>
      </c>
      <c r="B7" s="24" t="s">
        <v>112</v>
      </c>
      <c r="C7" s="24" t="s">
        <v>113</v>
      </c>
      <c r="D7" s="24" t="s">
        <v>114</v>
      </c>
      <c r="E7" s="24" t="s">
        <v>115</v>
      </c>
      <c r="F7" s="24" t="s">
        <v>116</v>
      </c>
    </row>
    <row r="8" customFormat="false" ht="15" hidden="false" customHeight="false" outlineLevel="0" collapsed="false">
      <c r="A8" s="11" t="s">
        <v>42</v>
      </c>
      <c r="B8" s="11" t="s">
        <v>107</v>
      </c>
      <c r="C8" s="11" t="s">
        <v>108</v>
      </c>
      <c r="D8" s="11" t="s">
        <v>109</v>
      </c>
      <c r="E8" s="11" t="s">
        <v>117</v>
      </c>
      <c r="F8" s="11" t="s">
        <v>118</v>
      </c>
    </row>
    <row r="9" customFormat="false" ht="15" hidden="false" customHeight="false" outlineLevel="0" collapsed="false">
      <c r="A9" s="24" t="s">
        <v>45</v>
      </c>
      <c r="B9" s="24" t="s">
        <v>112</v>
      </c>
      <c r="C9" s="24" t="s">
        <v>119</v>
      </c>
      <c r="D9" s="24" t="s">
        <v>120</v>
      </c>
      <c r="E9" s="24" t="s">
        <v>115</v>
      </c>
      <c r="F9" s="24" t="s">
        <v>121</v>
      </c>
    </row>
    <row r="10" customFormat="false" ht="15" hidden="false" customHeight="false" outlineLevel="0" collapsed="false">
      <c r="A10" s="11" t="s">
        <v>48</v>
      </c>
      <c r="B10" s="11" t="s">
        <v>122</v>
      </c>
      <c r="C10" s="11" t="s">
        <v>123</v>
      </c>
      <c r="D10" s="11" t="s">
        <v>124</v>
      </c>
      <c r="E10" s="11" t="s">
        <v>125</v>
      </c>
      <c r="F10" s="11" t="s">
        <v>126</v>
      </c>
    </row>
    <row r="11" customFormat="false" ht="15" hidden="false" customHeight="false" outlineLevel="0" collapsed="false">
      <c r="A11" s="24" t="s">
        <v>52</v>
      </c>
      <c r="B11" s="24" t="s">
        <v>127</v>
      </c>
      <c r="C11" s="24" t="s">
        <v>128</v>
      </c>
      <c r="D11" s="24" t="s">
        <v>120</v>
      </c>
      <c r="E11" s="24" t="s">
        <v>115</v>
      </c>
      <c r="F11" s="24" t="s">
        <v>129</v>
      </c>
    </row>
    <row r="12" customFormat="false" ht="15" hidden="false" customHeight="false" outlineLevel="0" collapsed="false">
      <c r="A12" s="11" t="s">
        <v>130</v>
      </c>
      <c r="B12" s="11" t="s">
        <v>131</v>
      </c>
      <c r="C12" s="11" t="s">
        <v>132</v>
      </c>
      <c r="D12" s="11" t="s">
        <v>133</v>
      </c>
      <c r="E12" s="11" t="s">
        <v>134</v>
      </c>
      <c r="F12" s="11" t="s">
        <v>135</v>
      </c>
    </row>
    <row r="13" customFormat="false" ht="15" hidden="false" customHeight="false" outlineLevel="0" collapsed="false">
      <c r="A13" s="24" t="s">
        <v>136</v>
      </c>
      <c r="B13" s="24" t="s">
        <v>137</v>
      </c>
      <c r="C13" s="24" t="s">
        <v>138</v>
      </c>
      <c r="D13" s="24" t="s">
        <v>139</v>
      </c>
      <c r="E13" s="24" t="s">
        <v>140</v>
      </c>
      <c r="F13" s="24" t="s">
        <v>141</v>
      </c>
    </row>
    <row r="15" customFormat="false" ht="15" hidden="false" customHeight="false" outlineLevel="0" collapsed="false">
      <c r="A15" s="3" t="s">
        <v>142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25" t="s">
        <v>143</v>
      </c>
    </row>
    <row r="17" customFormat="false" ht="15" hidden="false" customHeight="false" outlineLevel="0" collapsed="false">
      <c r="A17" s="25" t="s">
        <v>144</v>
      </c>
    </row>
    <row r="18" customFormat="false" ht="15" hidden="false" customHeight="false" outlineLevel="0" collapsed="false">
      <c r="A18" s="25" t="s">
        <v>145</v>
      </c>
    </row>
    <row r="19" customFormat="false" ht="15" hidden="false" customHeight="false" outlineLevel="0" collapsed="false">
      <c r="A19" s="25" t="s">
        <v>146</v>
      </c>
    </row>
    <row r="20" customFormat="false" ht="15" hidden="false" customHeight="false" outlineLevel="0" collapsed="false">
      <c r="A20" s="25" t="s">
        <v>147</v>
      </c>
    </row>
    <row r="22" customFormat="false" ht="15" hidden="false" customHeight="false" outlineLevel="0" collapsed="false">
      <c r="A22" s="3" t="s">
        <v>148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22" t="s">
        <v>149</v>
      </c>
      <c r="B23" s="22"/>
      <c r="C23" s="22"/>
      <c r="D23" s="22"/>
      <c r="E23" s="22"/>
      <c r="F23" s="22"/>
    </row>
    <row r="24" customFormat="false" ht="15" hidden="false" customHeight="false" outlineLevel="0" collapsed="false">
      <c r="A24" s="22" t="s">
        <v>150</v>
      </c>
      <c r="B24" s="22"/>
      <c r="C24" s="22"/>
      <c r="D24" s="22"/>
      <c r="E24" s="22"/>
      <c r="F24" s="22"/>
    </row>
    <row r="25" customFormat="false" ht="15" hidden="false" customHeight="false" outlineLevel="0" collapsed="false">
      <c r="A25" s="22" t="s">
        <v>151</v>
      </c>
      <c r="B25" s="22"/>
      <c r="C25" s="22"/>
      <c r="D25" s="22"/>
      <c r="E25" s="22"/>
      <c r="F25" s="22"/>
    </row>
    <row r="26" customFormat="false" ht="15" hidden="false" customHeight="false" outlineLevel="0" collapsed="false">
      <c r="A26" s="22" t="s">
        <v>152</v>
      </c>
      <c r="B26" s="22"/>
      <c r="C26" s="22"/>
      <c r="D26" s="22"/>
      <c r="E26" s="22"/>
      <c r="F26" s="22"/>
    </row>
    <row r="27" customFormat="false" ht="15" hidden="false" customHeight="false" outlineLevel="0" collapsed="false">
      <c r="A27" s="22" t="s">
        <v>153</v>
      </c>
      <c r="B27" s="22"/>
      <c r="C27" s="22"/>
      <c r="D27" s="22"/>
      <c r="E27" s="22"/>
      <c r="F27" s="22"/>
    </row>
    <row r="28" customFormat="false" ht="15" hidden="false" customHeight="false" outlineLevel="0" collapsed="false">
      <c r="A28" s="22" t="s">
        <v>154</v>
      </c>
      <c r="B28" s="22"/>
      <c r="C28" s="22"/>
      <c r="D28" s="22"/>
      <c r="E28" s="22"/>
      <c r="F28" s="22"/>
    </row>
  </sheetData>
  <mergeCells count="9">
    <mergeCell ref="A1:F1"/>
    <mergeCell ref="A15:F15"/>
    <mergeCell ref="A22:F22"/>
    <mergeCell ref="A23:F23"/>
    <mergeCell ref="A24:F24"/>
    <mergeCell ref="A25:F25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4.01"/>
  </cols>
  <sheetData>
    <row r="1" customFormat="false" ht="25.5" hidden="false" customHeight="true" outlineLevel="0" collapsed="false">
      <c r="A1" s="23" t="s">
        <v>155</v>
      </c>
      <c r="B1" s="23"/>
      <c r="C1" s="23"/>
      <c r="D1" s="23"/>
      <c r="E1" s="23"/>
    </row>
    <row r="3" customFormat="false" ht="15" hidden="false" customHeight="false" outlineLevel="0" collapsed="false">
      <c r="A3" s="9" t="s">
        <v>16</v>
      </c>
      <c r="B3" s="9" t="s">
        <v>92</v>
      </c>
      <c r="C3" s="9" t="s">
        <v>156</v>
      </c>
      <c r="D3" s="9" t="s">
        <v>94</v>
      </c>
      <c r="E3" s="9" t="s">
        <v>157</v>
      </c>
    </row>
    <row r="4" customFormat="false" ht="15" hidden="false" customHeight="false" outlineLevel="0" collapsed="false">
      <c r="A4" s="26" t="s">
        <v>26</v>
      </c>
      <c r="B4" s="27" t="n">
        <v>0.03</v>
      </c>
      <c r="C4" s="27" t="n">
        <v>0.05</v>
      </c>
      <c r="D4" s="27" t="n">
        <v>0.1</v>
      </c>
      <c r="E4" s="28" t="n">
        <v>13</v>
      </c>
    </row>
    <row r="5" customFormat="false" ht="15" hidden="false" customHeight="false" outlineLevel="0" collapsed="false">
      <c r="A5" s="26" t="s">
        <v>30</v>
      </c>
      <c r="B5" s="27" t="n">
        <v>0.01</v>
      </c>
      <c r="C5" s="27" t="n">
        <v>0.02</v>
      </c>
      <c r="D5" s="27" t="n">
        <v>0.03</v>
      </c>
      <c r="E5" s="28" t="n">
        <v>14</v>
      </c>
    </row>
    <row r="6" customFormat="false" ht="15" hidden="false" customHeight="false" outlineLevel="0" collapsed="false">
      <c r="A6" s="26" t="s">
        <v>34</v>
      </c>
      <c r="B6" s="27" t="n">
        <v>0.15</v>
      </c>
      <c r="C6" s="27" t="n">
        <v>0.3</v>
      </c>
      <c r="D6" s="27" t="n">
        <v>0.45</v>
      </c>
      <c r="E6" s="28" t="n">
        <v>15</v>
      </c>
    </row>
    <row r="7" customFormat="false" ht="15" hidden="false" customHeight="false" outlineLevel="0" collapsed="false">
      <c r="A7" s="26" t="s">
        <v>38</v>
      </c>
      <c r="B7" s="27" t="n">
        <v>0.02</v>
      </c>
      <c r="C7" s="27" t="n">
        <v>0.1</v>
      </c>
      <c r="D7" s="27" t="n">
        <v>0.15</v>
      </c>
      <c r="E7" s="28" t="n">
        <v>16</v>
      </c>
    </row>
    <row r="8" customFormat="false" ht="15" hidden="false" customHeight="false" outlineLevel="0" collapsed="false">
      <c r="A8" s="26" t="s">
        <v>42</v>
      </c>
      <c r="B8" s="27" t="n">
        <v>0.15</v>
      </c>
      <c r="C8" s="27" t="n">
        <v>0.3</v>
      </c>
      <c r="D8" s="27" t="n">
        <v>0.45</v>
      </c>
      <c r="E8" s="28" t="n">
        <v>17</v>
      </c>
    </row>
    <row r="9" customFormat="false" ht="15" hidden="false" customHeight="false" outlineLevel="0" collapsed="false">
      <c r="A9" s="26" t="s">
        <v>45</v>
      </c>
      <c r="B9" s="27" t="n">
        <v>0.02</v>
      </c>
      <c r="C9" s="27" t="n">
        <v>0.1</v>
      </c>
      <c r="D9" s="27" t="n">
        <v>0.15</v>
      </c>
      <c r="E9" s="28" t="n">
        <v>18</v>
      </c>
    </row>
    <row r="10" customFormat="false" ht="15" hidden="false" customHeight="false" outlineLevel="0" collapsed="false">
      <c r="A10" s="26" t="s">
        <v>48</v>
      </c>
      <c r="B10" s="27" t="n">
        <v>0.05</v>
      </c>
      <c r="C10" s="27" t="n">
        <v>0.075</v>
      </c>
      <c r="D10" s="27" t="n">
        <v>0.12</v>
      </c>
      <c r="E10" s="28" t="n">
        <v>19</v>
      </c>
    </row>
    <row r="11" customFormat="false" ht="15" hidden="false" customHeight="false" outlineLevel="0" collapsed="false">
      <c r="A11" s="26" t="s">
        <v>158</v>
      </c>
      <c r="B11" s="27" t="n">
        <v>0.25</v>
      </c>
      <c r="C11" s="27" t="n">
        <v>0.33</v>
      </c>
      <c r="D11" s="27" t="n">
        <v>0.5</v>
      </c>
      <c r="E11" s="28" t="n">
        <v>20</v>
      </c>
    </row>
    <row r="12" customFormat="false" ht="15" hidden="false" customHeight="false" outlineLevel="0" collapsed="false">
      <c r="A12" s="26" t="s">
        <v>56</v>
      </c>
      <c r="B12" s="27" t="n">
        <v>0.03</v>
      </c>
      <c r="C12" s="27" t="n">
        <v>0.05</v>
      </c>
      <c r="D12" s="27" t="n">
        <v>0.08</v>
      </c>
      <c r="E12" s="28" t="n">
        <v>21</v>
      </c>
    </row>
    <row r="13" customFormat="false" ht="15" hidden="false" customHeight="false" outlineLevel="0" collapsed="false">
      <c r="A13" s="26" t="s">
        <v>136</v>
      </c>
      <c r="B13" s="27" t="n">
        <v>0.05</v>
      </c>
      <c r="C13" s="27" t="n">
        <v>0.1</v>
      </c>
      <c r="D13" s="27" t="n">
        <v>0.15</v>
      </c>
      <c r="E13" s="28" t="n">
        <v>22</v>
      </c>
    </row>
    <row r="14" customFormat="false" ht="15" hidden="false" customHeight="false" outlineLevel="0" collapsed="false">
      <c r="A14" s="26" t="s">
        <v>159</v>
      </c>
      <c r="B14" s="27" t="n">
        <v>0</v>
      </c>
      <c r="C14" s="27" t="n">
        <v>0</v>
      </c>
      <c r="D14" s="27" t="n">
        <v>0.05</v>
      </c>
      <c r="E14" s="28" t="n">
        <v>23</v>
      </c>
    </row>
    <row r="16" customFormat="false" ht="15" hidden="false" customHeight="false" outlineLevel="0" collapsed="false">
      <c r="A16" s="3" t="s">
        <v>160</v>
      </c>
      <c r="B16" s="3"/>
      <c r="C16" s="3"/>
      <c r="D16" s="3"/>
      <c r="E16" s="3"/>
    </row>
    <row r="17" customFormat="false" ht="15" hidden="false" customHeight="false" outlineLevel="0" collapsed="false">
      <c r="A17" s="22" t="s">
        <v>161</v>
      </c>
      <c r="B17" s="22"/>
      <c r="C17" s="22"/>
      <c r="D17" s="22"/>
      <c r="E17" s="22"/>
    </row>
    <row r="18" customFormat="false" ht="15" hidden="false" customHeight="false" outlineLevel="0" collapsed="false">
      <c r="A18" s="22" t="s">
        <v>162</v>
      </c>
      <c r="B18" s="22"/>
      <c r="C18" s="22"/>
      <c r="D18" s="22"/>
      <c r="E18" s="22"/>
    </row>
    <row r="19" customFormat="false" ht="15" hidden="false" customHeight="false" outlineLevel="0" collapsed="false">
      <c r="A19" s="22" t="s">
        <v>163</v>
      </c>
      <c r="B19" s="22"/>
      <c r="C19" s="22"/>
      <c r="D19" s="22"/>
      <c r="E19" s="22"/>
    </row>
    <row r="20" customFormat="false" ht="15" hidden="false" customHeight="false" outlineLevel="0" collapsed="false">
      <c r="A20" s="22" t="s">
        <v>164</v>
      </c>
      <c r="B20" s="22"/>
      <c r="C20" s="22"/>
      <c r="D20" s="22"/>
      <c r="E20" s="22"/>
    </row>
    <row r="22" customFormat="false" ht="15" hidden="false" customHeight="false" outlineLevel="0" collapsed="false">
      <c r="A22" s="3" t="s">
        <v>165</v>
      </c>
      <c r="B22" s="3"/>
      <c r="C22" s="3"/>
      <c r="D22" s="3"/>
      <c r="E22" s="3"/>
    </row>
    <row r="23" customFormat="false" ht="15" hidden="false" customHeight="false" outlineLevel="0" collapsed="false">
      <c r="A23" s="29" t="s">
        <v>16</v>
      </c>
      <c r="B23" s="29" t="s">
        <v>166</v>
      </c>
      <c r="C23" s="29" t="s">
        <v>167</v>
      </c>
      <c r="D23" s="29" t="s">
        <v>168</v>
      </c>
    </row>
    <row r="24" customFormat="false" ht="15" hidden="false" customHeight="false" outlineLevel="0" collapsed="false">
      <c r="A24" s="26" t="s">
        <v>26</v>
      </c>
      <c r="B24" s="8" t="n">
        <f aca="false">'SDC Calculator'!$B$6*B4</f>
        <v>0.12</v>
      </c>
      <c r="C24" s="8" t="n">
        <f aca="false">'SDC Calculator'!$B$6*C4</f>
        <v>0.2</v>
      </c>
      <c r="D24" s="8" t="n">
        <f aca="false">'SDC Calculator'!$B$6*D4</f>
        <v>0.4</v>
      </c>
    </row>
    <row r="25" customFormat="false" ht="15" hidden="false" customHeight="false" outlineLevel="0" collapsed="false">
      <c r="A25" s="26" t="s">
        <v>30</v>
      </c>
      <c r="B25" s="8" t="n">
        <f aca="false">'SDC Calculator'!$B$6*B5</f>
        <v>0.04</v>
      </c>
      <c r="C25" s="8" t="n">
        <f aca="false">'SDC Calculator'!$B$6*C5</f>
        <v>0.08</v>
      </c>
      <c r="D25" s="8" t="n">
        <f aca="false">'SDC Calculator'!$B$6*D5</f>
        <v>0.12</v>
      </c>
    </row>
    <row r="26" customFormat="false" ht="15" hidden="false" customHeight="false" outlineLevel="0" collapsed="false">
      <c r="A26" s="26" t="s">
        <v>34</v>
      </c>
      <c r="B26" s="8" t="n">
        <f aca="false">'SDC Calculator'!$B$6*B6</f>
        <v>0.6</v>
      </c>
      <c r="C26" s="8" t="n">
        <f aca="false">'SDC Calculator'!$B$6*C6</f>
        <v>1.2</v>
      </c>
      <c r="D26" s="8" t="n">
        <f aca="false">'SDC Calculator'!$B$6*D6</f>
        <v>1.8</v>
      </c>
    </row>
    <row r="27" customFormat="false" ht="15" hidden="false" customHeight="false" outlineLevel="0" collapsed="false">
      <c r="A27" s="26" t="s">
        <v>38</v>
      </c>
      <c r="B27" s="8" t="n">
        <f aca="false">'SDC Calculator'!$B$6*B7</f>
        <v>0.08</v>
      </c>
      <c r="C27" s="8" t="n">
        <f aca="false">'SDC Calculator'!$B$6*C7</f>
        <v>0.4</v>
      </c>
      <c r="D27" s="8" t="n">
        <f aca="false">'SDC Calculator'!$B$6*D7</f>
        <v>0.6</v>
      </c>
    </row>
    <row r="28" customFormat="false" ht="15" hidden="false" customHeight="false" outlineLevel="0" collapsed="false">
      <c r="A28" s="26" t="s">
        <v>42</v>
      </c>
      <c r="B28" s="8" t="n">
        <f aca="false">'SDC Calculator'!$B$6*B8</f>
        <v>0.6</v>
      </c>
      <c r="C28" s="8" t="n">
        <f aca="false">'SDC Calculator'!$B$6*C8</f>
        <v>1.2</v>
      </c>
      <c r="D28" s="8" t="n">
        <f aca="false">'SDC Calculator'!$B$6*D8</f>
        <v>1.8</v>
      </c>
    </row>
    <row r="29" customFormat="false" ht="15" hidden="false" customHeight="false" outlineLevel="0" collapsed="false">
      <c r="A29" s="26" t="s">
        <v>45</v>
      </c>
      <c r="B29" s="8" t="n">
        <f aca="false">'SDC Calculator'!$B$6*B9</f>
        <v>0.08</v>
      </c>
      <c r="C29" s="8" t="n">
        <f aca="false">'SDC Calculator'!$B$6*C9</f>
        <v>0.4</v>
      </c>
      <c r="D29" s="8" t="n">
        <f aca="false">'SDC Calculator'!$B$6*D9</f>
        <v>0.6</v>
      </c>
    </row>
    <row r="30" customFormat="false" ht="15" hidden="false" customHeight="false" outlineLevel="0" collapsed="false">
      <c r="A30" s="26" t="s">
        <v>48</v>
      </c>
      <c r="B30" s="8" t="n">
        <f aca="false">'SDC Calculator'!$B$6*B10</f>
        <v>0.2</v>
      </c>
      <c r="C30" s="8" t="n">
        <f aca="false">'SDC Calculator'!$B$6*C10</f>
        <v>0.3</v>
      </c>
      <c r="D30" s="8" t="n">
        <f aca="false">'SDC Calculator'!$B$6*D10</f>
        <v>0.48</v>
      </c>
    </row>
    <row r="31" customFormat="false" ht="15" hidden="false" customHeight="false" outlineLevel="0" collapsed="false">
      <c r="A31" s="26" t="s">
        <v>158</v>
      </c>
      <c r="B31" s="8" t="n">
        <f aca="false">'SDC Calculator'!$B$6*B11</f>
        <v>1</v>
      </c>
      <c r="C31" s="8" t="n">
        <f aca="false">'SDC Calculator'!$B$6*C11</f>
        <v>1.32</v>
      </c>
      <c r="D31" s="8" t="n">
        <f aca="false">'SDC Calculator'!$B$6*D11</f>
        <v>2</v>
      </c>
    </row>
    <row r="32" customFormat="false" ht="15" hidden="false" customHeight="false" outlineLevel="0" collapsed="false">
      <c r="A32" s="26" t="s">
        <v>56</v>
      </c>
      <c r="B32" s="8" t="n">
        <f aca="false">'SDC Calculator'!$B$6*B12</f>
        <v>0.12</v>
      </c>
      <c r="C32" s="8" t="n">
        <f aca="false">'SDC Calculator'!$B$6*C12</f>
        <v>0.2</v>
      </c>
      <c r="D32" s="8" t="n">
        <f aca="false">'SDC Calculator'!$B$6*D12</f>
        <v>0.32</v>
      </c>
    </row>
    <row r="33" customFormat="false" ht="15" hidden="false" customHeight="false" outlineLevel="0" collapsed="false">
      <c r="A33" s="26" t="s">
        <v>136</v>
      </c>
      <c r="B33" s="8" t="n">
        <f aca="false">'SDC Calculator'!$B$6*B13</f>
        <v>0.2</v>
      </c>
      <c r="C33" s="8" t="n">
        <f aca="false">'SDC Calculator'!$B$6*C13</f>
        <v>0.4</v>
      </c>
      <c r="D33" s="8" t="n">
        <f aca="false">'SDC Calculator'!$B$6*D13</f>
        <v>0.6</v>
      </c>
    </row>
    <row r="34" customFormat="false" ht="15" hidden="false" customHeight="false" outlineLevel="0" collapsed="false">
      <c r="A34" s="26" t="s">
        <v>159</v>
      </c>
      <c r="B34" s="8" t="n">
        <f aca="false">'SDC Calculator'!$B$6*B14</f>
        <v>0</v>
      </c>
      <c r="C34" s="8" t="n">
        <f aca="false">'SDC Calculator'!$B$6*C14</f>
        <v>0</v>
      </c>
      <c r="D34" s="8" t="n">
        <f aca="false">'SDC Calculator'!$B$6*D14</f>
        <v>0.2</v>
      </c>
    </row>
  </sheetData>
  <mergeCells count="7">
    <mergeCell ref="A1:E1"/>
    <mergeCell ref="A16:E16"/>
    <mergeCell ref="A17:E17"/>
    <mergeCell ref="A18:E18"/>
    <mergeCell ref="A19:E19"/>
    <mergeCell ref="A20:E20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3" min="1" style="0" width="11.99"/>
    <col collapsed="false" customWidth="true" hidden="false" outlineLevel="0" max="5" min="4" style="0" width="10.99"/>
    <col collapsed="false" customWidth="true" hidden="false" outlineLevel="0" max="9" min="6" style="0" width="14.01"/>
    <col collapsed="false" customWidth="true" hidden="false" outlineLevel="0" max="10" min="10" style="0" width="11.99"/>
    <col collapsed="false" customWidth="true" hidden="false" outlineLevel="0" max="11" min="11" style="0" width="14.01"/>
    <col collapsed="false" customWidth="true" hidden="false" outlineLevel="0" max="12" min="12" style="0" width="54.99"/>
  </cols>
  <sheetData>
    <row r="1" customFormat="false" ht="25.5" hidden="false" customHeight="true" outlineLevel="0" collapsed="false">
      <c r="A1" s="23" t="s">
        <v>169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customFormat="false" ht="15" hidden="false" customHeight="false" outlineLevel="0" collapsed="false">
      <c r="A2" s="0" t="s">
        <v>170</v>
      </c>
      <c r="B2" s="30" t="s">
        <v>171</v>
      </c>
      <c r="C2" s="6" t="s">
        <v>172</v>
      </c>
    </row>
    <row r="3" customFormat="false" ht="15" hidden="false" customHeight="false" outlineLevel="0" collapsed="false">
      <c r="A3" s="0" t="s">
        <v>173</v>
      </c>
    </row>
    <row r="4" customFormat="false" ht="15" hidden="false" customHeight="false" outlineLevel="0" collapsed="false">
      <c r="A4" s="31" t="s">
        <v>174</v>
      </c>
      <c r="B4" s="19" t="n">
        <f aca="false">IF($B$2="Aggressive",Presets!B4,IF($B$2="Conservative",Presets!D4,Presets!C4))</f>
        <v>0.05</v>
      </c>
      <c r="C4" s="31" t="s">
        <v>175</v>
      </c>
      <c r="D4" s="19" t="n">
        <f aca="false">IF($B$2="Aggressive",Presets!B5,IF($B$2="Conservative",Presets!D5,Presets!C5))</f>
        <v>0.02</v>
      </c>
      <c r="E4" s="31" t="s">
        <v>176</v>
      </c>
      <c r="F4" s="19" t="n">
        <f aca="false">IF($B$2="Aggressive",Presets!B6,IF($B$2="Conservative",Presets!D6,Presets!C6))</f>
        <v>0.3</v>
      </c>
      <c r="G4" s="31" t="s">
        <v>177</v>
      </c>
      <c r="H4" s="19" t="n">
        <f aca="false">IF($B$2="Aggressive",Presets!B7,IF($B$2="Conservative",Presets!D7,Presets!C7))</f>
        <v>0.1</v>
      </c>
      <c r="I4" s="31" t="s">
        <v>178</v>
      </c>
      <c r="J4" s="19" t="n">
        <f aca="false">IF($B$2="Aggressive",Presets!B8,IF($B$2="Conservative",Presets!D8,Presets!C8))</f>
        <v>0.3</v>
      </c>
      <c r="K4" s="31" t="s">
        <v>179</v>
      </c>
      <c r="L4" s="19" t="n">
        <f aca="false">IF($B$2="Aggressive",Presets!B10,IF($B$2="Conservative",Presets!D10,Presets!C10))</f>
        <v>0.075</v>
      </c>
    </row>
    <row r="6" customFormat="false" ht="31.5" hidden="false" customHeight="true" outlineLevel="0" collapsed="false">
      <c r="A6" s="9" t="s">
        <v>180</v>
      </c>
      <c r="B6" s="9" t="s">
        <v>181</v>
      </c>
      <c r="C6" s="9" t="s">
        <v>182</v>
      </c>
      <c r="D6" s="9" t="s">
        <v>183</v>
      </c>
      <c r="E6" s="9" t="s">
        <v>184</v>
      </c>
      <c r="F6" s="9" t="s">
        <v>34</v>
      </c>
      <c r="G6" s="9" t="s">
        <v>38</v>
      </c>
      <c r="H6" s="9" t="s">
        <v>42</v>
      </c>
      <c r="I6" s="9" t="s">
        <v>45</v>
      </c>
      <c r="J6" s="9" t="s">
        <v>185</v>
      </c>
      <c r="K6" s="9" t="s">
        <v>186</v>
      </c>
      <c r="L6" s="9" t="s">
        <v>187</v>
      </c>
    </row>
    <row r="7" customFormat="false" ht="15" hidden="false" customHeight="false" outlineLevel="0" collapsed="false">
      <c r="A7" s="30" t="s">
        <v>4</v>
      </c>
      <c r="B7" s="32" t="n">
        <v>2</v>
      </c>
      <c r="C7" s="33" t="n">
        <f aca="false">IF(OR(B7="",B7=0),"",1000/B7)</f>
        <v>500</v>
      </c>
      <c r="D7" s="8" t="n">
        <f aca="false">IF(B7="","",$B$4*B7)</f>
        <v>0.1</v>
      </c>
      <c r="E7" s="8" t="n">
        <f aca="false">IF(B7="","",$D$4*B7)</f>
        <v>0.04</v>
      </c>
      <c r="F7" s="8" t="n">
        <f aca="false">IF(B7="","",$F$4*B7)</f>
        <v>0.6</v>
      </c>
      <c r="G7" s="8" t="n">
        <f aca="false">IF(B7="","",$H$4*B7)</f>
        <v>0.2</v>
      </c>
      <c r="H7" s="8" t="n">
        <f aca="false">IF(B7="","",$J$4*B7)</f>
        <v>0.6</v>
      </c>
      <c r="I7" s="8" t="n">
        <f aca="false">IF(B7="","",$H$4*B7)</f>
        <v>0.2</v>
      </c>
      <c r="J7" s="8" t="n">
        <f aca="false">IF(B7="","",$L$4*B7)</f>
        <v>0.15</v>
      </c>
      <c r="K7" s="8" t="n">
        <f aca="false">IF(B7="","",J7*0.33)</f>
        <v>0.0495</v>
      </c>
      <c r="L7" s="15" t="str">
        <f aca="false">IF(OR(A7="",B7=""),"",CONCATENATE("create_clock -name ",A7," -period ",TEXT(B7,"0.000")," [get_ports ",LOWER(A7),"]"))</f>
        <v>create_clock -name CLK -period 2.000 [get_ports clk]</v>
      </c>
    </row>
    <row r="8" customFormat="false" ht="15" hidden="false" customHeight="false" outlineLevel="0" collapsed="false">
      <c r="A8" s="30" t="s">
        <v>188</v>
      </c>
      <c r="B8" s="32" t="n">
        <v>1</v>
      </c>
      <c r="C8" s="33" t="n">
        <f aca="false">IF(OR(B8="",B8=0),"",1000/B8)</f>
        <v>1000</v>
      </c>
      <c r="D8" s="8" t="n">
        <f aca="false">IF(B8="","",$B$4*B8)</f>
        <v>0.05</v>
      </c>
      <c r="E8" s="8" t="n">
        <f aca="false">IF(B8="","",$D$4*B8)</f>
        <v>0.02</v>
      </c>
      <c r="F8" s="8" t="n">
        <f aca="false">IF(B8="","",$F$4*B8)</f>
        <v>0.3</v>
      </c>
      <c r="G8" s="8" t="n">
        <f aca="false">IF(B8="","",$H$4*B8)</f>
        <v>0.1</v>
      </c>
      <c r="H8" s="8" t="n">
        <f aca="false">IF(B8="","",$J$4*B8)</f>
        <v>0.3</v>
      </c>
      <c r="I8" s="8" t="n">
        <f aca="false">IF(B8="","",$H$4*B8)</f>
        <v>0.1</v>
      </c>
      <c r="J8" s="8" t="n">
        <f aca="false">IF(B8="","",$L$4*B8)</f>
        <v>0.075</v>
      </c>
      <c r="K8" s="8" t="n">
        <f aca="false">IF(B8="","",J8*0.33)</f>
        <v>0.02475</v>
      </c>
      <c r="L8" s="15" t="str">
        <f aca="false">IF(OR(A8="",B8=""),"",CONCATENATE("create_clock -name ",A8," -period ",TEXT(B8,"0.000")," [get_ports ",LOWER(A8),"]"))</f>
        <v>create_clock -name CLK_FAST -period 1.000 [get_ports clk_fast]</v>
      </c>
    </row>
    <row r="9" customFormat="false" ht="15" hidden="false" customHeight="false" outlineLevel="0" collapsed="false">
      <c r="A9" s="30" t="s">
        <v>189</v>
      </c>
      <c r="B9" s="32" t="n">
        <v>4</v>
      </c>
      <c r="C9" s="33" t="n">
        <f aca="false">IF(OR(B9="",B9=0),"",1000/B9)</f>
        <v>250</v>
      </c>
      <c r="D9" s="8" t="n">
        <f aca="false">IF(B9="","",$B$4*B9)</f>
        <v>0.2</v>
      </c>
      <c r="E9" s="8" t="n">
        <f aca="false">IF(B9="","",$D$4*B9)</f>
        <v>0.08</v>
      </c>
      <c r="F9" s="8" t="n">
        <f aca="false">IF(B9="","",$F$4*B9)</f>
        <v>1.2</v>
      </c>
      <c r="G9" s="8" t="n">
        <f aca="false">IF(B9="","",$H$4*B9)</f>
        <v>0.4</v>
      </c>
      <c r="H9" s="8" t="n">
        <f aca="false">IF(B9="","",$J$4*B9)</f>
        <v>1.2</v>
      </c>
      <c r="I9" s="8" t="n">
        <f aca="false">IF(B9="","",$H$4*B9)</f>
        <v>0.4</v>
      </c>
      <c r="J9" s="8" t="n">
        <f aca="false">IF(B9="","",$L$4*B9)</f>
        <v>0.3</v>
      </c>
      <c r="K9" s="8" t="n">
        <f aca="false">IF(B9="","",J9*0.33)</f>
        <v>0.099</v>
      </c>
      <c r="L9" s="15" t="str">
        <f aca="false">IF(OR(A9="",B9=""),"",CONCATENATE("create_clock -name ",A9," -period ",TEXT(B9,"0.000")," [get_ports ",LOWER(A9),"]"))</f>
        <v>create_clock -name CLK_SLOW -period 4.000 [get_ports clk_slow]</v>
      </c>
    </row>
    <row r="10" customFormat="false" ht="15" hidden="false" customHeight="false" outlineLevel="0" collapsed="false">
      <c r="A10" s="30"/>
      <c r="B10" s="32"/>
      <c r="C10" s="33" t="str">
        <f aca="false">IF(OR(B10="",B10=0),"",1000/B10)</f>
        <v/>
      </c>
      <c r="D10" s="8" t="str">
        <f aca="false">IF(B10="","",$B$4*B10)</f>
        <v/>
      </c>
      <c r="E10" s="8" t="str">
        <f aca="false">IF(B10="","",$D$4*B10)</f>
        <v/>
      </c>
      <c r="F10" s="8" t="str">
        <f aca="false">IF(B10="","",$F$4*B10)</f>
        <v/>
      </c>
      <c r="G10" s="8" t="str">
        <f aca="false">IF(B10="","",$H$4*B10)</f>
        <v/>
      </c>
      <c r="H10" s="8" t="str">
        <f aca="false">IF(B10="","",$J$4*B10)</f>
        <v/>
      </c>
      <c r="I10" s="8" t="str">
        <f aca="false">IF(B10="","",$H$4*B10)</f>
        <v/>
      </c>
      <c r="J10" s="8" t="str">
        <f aca="false">IF(B10="","",$L$4*B10)</f>
        <v/>
      </c>
      <c r="K10" s="8" t="str">
        <f aca="false">IF(B10="","",J10*0.33)</f>
        <v/>
      </c>
      <c r="L10" s="15" t="str">
        <f aca="false">IF(OR(A10="",B10=""),"",CONCATENATE("create_clock -name ",A10," -period ",TEXT(B10,"0.000")," [get_ports ",LOWER(A10),"]"))</f>
        <v/>
      </c>
    </row>
    <row r="11" customFormat="false" ht="15" hidden="false" customHeight="false" outlineLevel="0" collapsed="false">
      <c r="A11" s="30"/>
      <c r="B11" s="32"/>
      <c r="C11" s="33" t="str">
        <f aca="false">IF(OR(B11="",B11=0),"",1000/B11)</f>
        <v/>
      </c>
      <c r="D11" s="8" t="str">
        <f aca="false">IF(B11="","",$B$4*B11)</f>
        <v/>
      </c>
      <c r="E11" s="8" t="str">
        <f aca="false">IF(B11="","",$D$4*B11)</f>
        <v/>
      </c>
      <c r="F11" s="8" t="str">
        <f aca="false">IF(B11="","",$F$4*B11)</f>
        <v/>
      </c>
      <c r="G11" s="8" t="str">
        <f aca="false">IF(B11="","",$H$4*B11)</f>
        <v/>
      </c>
      <c r="H11" s="8" t="str">
        <f aca="false">IF(B11="","",$J$4*B11)</f>
        <v/>
      </c>
      <c r="I11" s="8" t="str">
        <f aca="false">IF(B11="","",$H$4*B11)</f>
        <v/>
      </c>
      <c r="J11" s="8" t="str">
        <f aca="false">IF(B11="","",$L$4*B11)</f>
        <v/>
      </c>
      <c r="K11" s="8" t="str">
        <f aca="false">IF(B11="","",J11*0.33)</f>
        <v/>
      </c>
      <c r="L11" s="15" t="str">
        <f aca="false">IF(OR(A11="",B11=""),"",CONCATENATE("create_clock -name ",A11," -period ",TEXT(B11,"0.000")," [get_ports ",LOWER(A11),"]"))</f>
        <v/>
      </c>
    </row>
    <row r="13" customFormat="false" ht="15" hidden="false" customHeight="false" outlineLevel="0" collapsed="false">
      <c r="A13" s="22" t="s">
        <v>190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</sheetData>
  <mergeCells count="2">
    <mergeCell ref="A1:L1"/>
    <mergeCell ref="A13:L13"/>
  </mergeCells>
  <dataValidations count="1">
    <dataValidation allowBlank="false" errorStyle="stop" operator="between" showDropDown="false" showErrorMessage="false" showInputMessage="false" sqref="B2" type="list">
      <formula1>"Aggressive,Typical,Conservative"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1.99"/>
    <col collapsed="false" customWidth="true" hidden="false" outlineLevel="0" max="3" min="3" style="0" width="14.01"/>
  </cols>
  <sheetData>
    <row r="1" customFormat="false" ht="15" hidden="false" customHeight="false" outlineLevel="0" collapsed="false">
      <c r="A1" s="34" t="s">
        <v>191</v>
      </c>
    </row>
    <row r="2" customFormat="false" ht="15" hidden="false" customHeight="false" outlineLevel="0" collapsed="false">
      <c r="A2" s="0" t="s">
        <v>192</v>
      </c>
      <c r="B2" s="0" t="s">
        <v>193</v>
      </c>
      <c r="C2" s="0" t="s">
        <v>194</v>
      </c>
    </row>
    <row r="3" customFormat="false" ht="15" hidden="false" customHeight="false" outlineLevel="0" collapsed="false">
      <c r="A3" s="35" t="n">
        <v>0</v>
      </c>
      <c r="B3" s="0" t="s">
        <v>9</v>
      </c>
      <c r="C3" s="0" t="s">
        <v>92</v>
      </c>
    </row>
    <row r="4" customFormat="false" ht="15" hidden="false" customHeight="false" outlineLevel="0" collapsed="false">
      <c r="A4" s="35" t="n">
        <v>0.01</v>
      </c>
      <c r="B4" s="0" t="s">
        <v>195</v>
      </c>
      <c r="C4" s="0" t="s">
        <v>171</v>
      </c>
    </row>
    <row r="5" customFormat="false" ht="15" hidden="false" customHeight="false" outlineLevel="0" collapsed="false">
      <c r="A5" s="35" t="n">
        <v>0.02</v>
      </c>
      <c r="C5" s="0" t="s">
        <v>94</v>
      </c>
    </row>
    <row r="6" customFormat="false" ht="15" hidden="false" customHeight="false" outlineLevel="0" collapsed="false">
      <c r="A6" s="35" t="n">
        <v>0.03</v>
      </c>
    </row>
    <row r="7" customFormat="false" ht="15" hidden="false" customHeight="false" outlineLevel="0" collapsed="false">
      <c r="A7" s="35" t="n">
        <v>0.05</v>
      </c>
    </row>
    <row r="8" customFormat="false" ht="15" hidden="false" customHeight="false" outlineLevel="0" collapsed="false">
      <c r="A8" s="35" t="n">
        <v>0.07</v>
      </c>
    </row>
    <row r="9" customFormat="false" ht="15" hidden="false" customHeight="false" outlineLevel="0" collapsed="false">
      <c r="A9" s="35" t="n">
        <v>0.08</v>
      </c>
    </row>
    <row r="10" customFormat="false" ht="15" hidden="false" customHeight="false" outlineLevel="0" collapsed="false">
      <c r="A10" s="35" t="n">
        <v>0.1</v>
      </c>
    </row>
    <row r="11" customFormat="false" ht="15" hidden="false" customHeight="false" outlineLevel="0" collapsed="false">
      <c r="A11" s="35" t="n">
        <v>0.15</v>
      </c>
    </row>
    <row r="12" customFormat="false" ht="15" hidden="false" customHeight="false" outlineLevel="0" collapsed="false">
      <c r="A12" s="35" t="n">
        <v>0.2</v>
      </c>
    </row>
    <row r="13" customFormat="false" ht="15" hidden="false" customHeight="false" outlineLevel="0" collapsed="false">
      <c r="A13" s="35" t="n">
        <v>0.25</v>
      </c>
    </row>
    <row r="14" customFormat="false" ht="15" hidden="false" customHeight="false" outlineLevel="0" collapsed="false">
      <c r="A14" s="35" t="n">
        <v>0.3</v>
      </c>
    </row>
    <row r="15" customFormat="false" ht="15" hidden="false" customHeight="false" outlineLevel="0" collapsed="false">
      <c r="A15" s="35" t="n">
        <v>0.33</v>
      </c>
    </row>
    <row r="16" customFormat="false" ht="15" hidden="false" customHeight="false" outlineLevel="0" collapsed="false">
      <c r="A16" s="35" t="n">
        <v>0.35</v>
      </c>
    </row>
    <row r="17" customFormat="false" ht="15" hidden="false" customHeight="false" outlineLevel="0" collapsed="false">
      <c r="A17" s="35" t="n">
        <v>0.4</v>
      </c>
    </row>
    <row r="18" customFormat="false" ht="15" hidden="false" customHeight="false" outlineLevel="0" collapsed="false">
      <c r="A18" s="35" t="n">
        <v>0.5</v>
      </c>
    </row>
    <row r="19" customFormat="false" ht="15" hidden="false" customHeight="false" outlineLevel="0" collapsed="false">
      <c r="A19" s="35" t="n"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2026-08-05T07:40:24Z</dcterms:created>
  <dc:creator>openpyxl</dc:creator>
  <dc:description/>
  <dc:language>en-IN</dc:language>
  <cp:lastModifiedBy/>
  <dcterms:modified xsi:type="dcterms:W3CDTF">2026-08-05T13:13:30Z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